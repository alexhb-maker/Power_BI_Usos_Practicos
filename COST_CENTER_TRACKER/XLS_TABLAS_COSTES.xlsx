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sdocument-my.sharepoint.com/personal/alex_hernandez_adlanter_com/Documents/GITHUB/"/>
    </mc:Choice>
  </mc:AlternateContent>
  <xr:revisionPtr revIDLastSave="0" documentId="8_{FACFF646-63A2-4D4A-92FB-6E201091EAB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T_worker" sheetId="1" r:id="rId1"/>
    <sheet name="t_ccoste" sheetId="2" r:id="rId2"/>
    <sheet name="Hoja3" sheetId="3" r:id="rId3"/>
    <sheet name="T_DAD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3" l="1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</calcChain>
</file>

<file path=xl/sharedStrings.xml><?xml version="1.0" encoding="utf-8"?>
<sst xmlns="http://schemas.openxmlformats.org/spreadsheetml/2006/main" count="428" uniqueCount="198">
  <si>
    <t>CENTRO DE COSTE</t>
  </si>
  <si>
    <t>Numero</t>
  </si>
  <si>
    <t>RESORTS</t>
  </si>
  <si>
    <t>Operaciones hoteleras. Incluye personal de recepción, housekeeping y F&amp;B.</t>
  </si>
  <si>
    <t>SPA CENTERS</t>
  </si>
  <si>
    <t>Centros de spa y bienestar. Personal de terapeutas y coordinadores wellness.</t>
  </si>
  <si>
    <t>PEOPLE &amp; TALENT</t>
  </si>
  <si>
    <t>Gestión de RRHH, selección, formación y desarrollo organizativo.</t>
  </si>
  <si>
    <t>DIGITAL &amp; TECH</t>
  </si>
  <si>
    <t>Infraestructura tecnológica, sistemas y soporte digital corporativo.</t>
  </si>
  <si>
    <t>BRAND &amp; MARKETING</t>
  </si>
  <si>
    <t>Estrategia de marca global, campañas y comunicación corporativa.</t>
  </si>
  <si>
    <t>EXPANSION</t>
  </si>
  <si>
    <t>Proyectos de nuevas aperturas y desarrollo de nuevos activos.</t>
  </si>
  <si>
    <t>FINANCE &amp; CONTROL</t>
  </si>
  <si>
    <t>Control financiero, tesorería, reporting y relación con auditores.</t>
  </si>
  <si>
    <t>ESPECIAL</t>
  </si>
  <si>
    <t>1-7</t>
  </si>
  <si>
    <t>Empleado</t>
  </si>
  <si>
    <t>Coments</t>
  </si>
  <si>
    <t>Carla</t>
  </si>
  <si>
    <t>Marc</t>
  </si>
  <si>
    <t>David</t>
  </si>
  <si>
    <t>Laura</t>
  </si>
  <si>
    <t>Sofia</t>
  </si>
  <si>
    <t>Elena</t>
  </si>
  <si>
    <t>Javier</t>
  </si>
  <si>
    <t>Marta</t>
  </si>
  <si>
    <t>Nuria</t>
  </si>
  <si>
    <t>Andrea</t>
  </si>
  <si>
    <t>Miguel</t>
  </si>
  <si>
    <t>Carlos</t>
  </si>
  <si>
    <t>Patricia</t>
  </si>
  <si>
    <t>Silvia</t>
  </si>
  <si>
    <t>Pablo</t>
  </si>
  <si>
    <t>Raul</t>
  </si>
  <si>
    <t>Cristina</t>
  </si>
  <si>
    <t>Beatriz</t>
  </si>
  <si>
    <t>CUENTA</t>
  </si>
  <si>
    <t>CONCEPTO</t>
  </si>
  <si>
    <t>NUMERO</t>
  </si>
  <si>
    <t>Notas cuenta</t>
  </si>
  <si>
    <t>62900041OTROSGASTOSG&amp;AHOTEL</t>
  </si>
  <si>
    <t>Otros gastos de gestión corriente (subgrupo 629 PGC). Incluye gastos G&amp;A y viajes.</t>
  </si>
  <si>
    <t>62900210VIAJES-TRANSPORTEHOTEL</t>
  </si>
  <si>
    <t>62900211VIAJES-HOTELESHOTEL</t>
  </si>
  <si>
    <t>62900212VIAJES-COMIDASHOTEL</t>
  </si>
  <si>
    <t>62300021GASTOSDECONTRATACIONHOTEL</t>
  </si>
  <si>
    <t>Servicios de profesionales independientes y gastos de contratación (subgrupo 623 PGC).</t>
  </si>
  <si>
    <t>62300010SERVICIOSPROF.HOTEL</t>
  </si>
  <si>
    <t>64200010SEGURIDADSOCIALHOTEL</t>
  </si>
  <si>
    <t>Seguridad Social a cargo de la empresa (subgrupo 642 PGC).</t>
  </si>
  <si>
    <t>64900010OTROSGASTOSSOCIALESHOTEL</t>
  </si>
  <si>
    <t>Otros gastos sociales: formación, seguros, beneficios sociales (subgrupo 649 PGC).</t>
  </si>
  <si>
    <t>75500010INGSERVPERSONALHOTEL</t>
  </si>
  <si>
    <t>Ingresos por servicios al personal (subgrupo 755 PGC). Contrapartida de gastos sociales.</t>
  </si>
  <si>
    <t>70500010PRESTACIONESDESERVICIOSHOTEL</t>
  </si>
  <si>
    <t>Prestaciones de servicios (subgrupo 705 PGC). Ingresos operativos por servicios.</t>
  </si>
  <si>
    <t>62900251OTROS GASTOS G&amp;A BEACH CLUB</t>
  </si>
  <si>
    <t>62900213VIAJES-TRANSPORTE BEACH CLUB</t>
  </si>
  <si>
    <t>62900214VIAJES-HOTELES BEACH CLUB</t>
  </si>
  <si>
    <t>62900215VIAJES-COMIDAS BEACH CLUB</t>
  </si>
  <si>
    <t>62300022GASTOS DE CONTRATACION BEACH</t>
  </si>
  <si>
    <t>62300015SERVICIOS PROF. BEACH CLUB</t>
  </si>
  <si>
    <t>64200011SEGURIDAD SOCIAL BEACH CLUB</t>
  </si>
  <si>
    <t>64900011OTROS GASTOS SOCIALES-BEACH CL</t>
  </si>
  <si>
    <t>75500011ING SERV PERSONAL-BEACH CLUB</t>
  </si>
  <si>
    <t>70500011PRESTACION SERVICIOS BEACH CLU</t>
  </si>
  <si>
    <t>62900261 VIAJES-TRANSPORTE PEOPLE &amp; TALENT</t>
  </si>
  <si>
    <t>62900262 VIAJES-HOTELES PEOPLE &amp; TALENT</t>
  </si>
  <si>
    <t>62900263 VIAJES-COMIDAS PEOPLE &amp; TALENT</t>
  </si>
  <si>
    <t>64200012SEGURIDAD SOCIAL HUMAN RESOURC</t>
  </si>
  <si>
    <t>64900012OTROS GASTOS SOCIALES HUMAN RES</t>
  </si>
  <si>
    <t>75500012INGR SERV PERSONAL HUMAN</t>
  </si>
  <si>
    <t>62900271 VIAJES-TRANSPORTE DIGITAL &amp; TECH</t>
  </si>
  <si>
    <t>62900272 VIAJES-HOTELES DIGITAL &amp; TECH</t>
  </si>
  <si>
    <t>62900273 VIAJES-COMIDAS DIGITAL &amp; TECH</t>
  </si>
  <si>
    <t>64200013SEGURIDAD SOCIAL DIGITAL &amp; TECH</t>
  </si>
  <si>
    <t>64900013OTROS GASTOS SOCIALES DIGITAL &amp; TECH</t>
  </si>
  <si>
    <t>75500013ING SERV PERSONAL DIGITAL &amp; TECH</t>
  </si>
  <si>
    <t>62900281 VIAJES-TRANSPORTE BRAND &amp; MARKETING</t>
  </si>
  <si>
    <t>62900282 VIAJES-HOTELES BRAND &amp; MARKETING</t>
  </si>
  <si>
    <t>62900283 VIAJES-COMIDAS BRAND &amp; MARKETING</t>
  </si>
  <si>
    <t>64200014SEGURIDAD SOCIAL BRAND &amp; MARKETING</t>
  </si>
  <si>
    <t>64900014OTROS GASTOS SOCIALES GLOBAL</t>
  </si>
  <si>
    <t>75500014INGR SERV PERSONAL GLOBAL BRA</t>
  </si>
  <si>
    <t>62900291 VIAJES-TRANSPORTE EXPANSION</t>
  </si>
  <si>
    <t>62900292 VIAJES-HOTELES EXPANSION</t>
  </si>
  <si>
    <t>62900293 VIAJES-COMIDAS EXPANSION</t>
  </si>
  <si>
    <t>64200015SEGURIDAD SOCIAL NEW DEVELOPME</t>
  </si>
  <si>
    <t>64900015OTROS GASTOS SOCIALESNEW DEBE</t>
  </si>
  <si>
    <t>75500015ING SERV PERSONAL NEW DEVELO</t>
  </si>
  <si>
    <t>62900301 VIAJES-TRANSPORTE FINANCE &amp; CONTROL</t>
  </si>
  <si>
    <t>62900302 VIAJES-HOTELES FINANCE &amp; CONTROL</t>
  </si>
  <si>
    <t>62900303 VIAJES-COMIDAS FINANCE &amp; CONTROL</t>
  </si>
  <si>
    <t>64200016SEGURIDAD SOCIAL FINANCE &amp; CONTROL</t>
  </si>
  <si>
    <t>64900016OTROS GASTOS SOCIALES FINANCE &amp; CONTROL</t>
  </si>
  <si>
    <t>75500016 ING SERV PERSONAL FINA</t>
  </si>
  <si>
    <t>62900041</t>
  </si>
  <si>
    <t>OTROSGASTOSG&amp;AHOTEL</t>
  </si>
  <si>
    <t>62900210</t>
  </si>
  <si>
    <t>VIAJES-TRANSPORTEHOTEL</t>
  </si>
  <si>
    <t>62900211</t>
  </si>
  <si>
    <t>VIAJES-HOTELESHOTEL</t>
  </si>
  <si>
    <t>62900212</t>
  </si>
  <si>
    <t>VIAJES-COMIDASHOTEL</t>
  </si>
  <si>
    <t>62300021</t>
  </si>
  <si>
    <t>GASTOSDECONTRATACIONHOTEL</t>
  </si>
  <si>
    <t>62300010</t>
  </si>
  <si>
    <t>SERVICIOSPROF.HOTEL</t>
  </si>
  <si>
    <t>64200010</t>
  </si>
  <si>
    <t>SEGURIDADSOCIALHOTEL</t>
  </si>
  <si>
    <t>64900010</t>
  </si>
  <si>
    <t>OTROSGASTOSSOCIALESHOTEL</t>
  </si>
  <si>
    <t>75500010</t>
  </si>
  <si>
    <t>INGSERVPERSONALHOTEL</t>
  </si>
  <si>
    <t>70500010</t>
  </si>
  <si>
    <t>PRESTACIONESDESERVICIOSHOTEL</t>
  </si>
  <si>
    <t>62900251</t>
  </si>
  <si>
    <t>OTROS GASTOS G&amp;A BEACH CLUB</t>
  </si>
  <si>
    <t>62900213</t>
  </si>
  <si>
    <t>VIAJES-TRANSPORTE BEACH CLUB</t>
  </si>
  <si>
    <t>62900214</t>
  </si>
  <si>
    <t>VIAJES-HOTELES BEACH CLUB</t>
  </si>
  <si>
    <t>62900215</t>
  </si>
  <si>
    <t>VIAJES-COMIDAS BEACH CLUB</t>
  </si>
  <si>
    <t>62300022</t>
  </si>
  <si>
    <t>GASTOS DE CONTRATACION BEACH</t>
  </si>
  <si>
    <t>62300015</t>
  </si>
  <si>
    <t>SERVICIOS PROF. BEACH CLUB</t>
  </si>
  <si>
    <t>64200011</t>
  </si>
  <si>
    <t>SEGURIDAD SOCIAL BEACH CLUB</t>
  </si>
  <si>
    <t>64900011</t>
  </si>
  <si>
    <t>OTROS GASTOS SOCIALES-BEACH CL</t>
  </si>
  <si>
    <t>75500011</t>
  </si>
  <si>
    <t>ING SERV PERSONAL-BEACH CLUB</t>
  </si>
  <si>
    <t>70500011</t>
  </si>
  <si>
    <t>PRESTACION SERVICIOS BEACH CLU</t>
  </si>
  <si>
    <t>62900261</t>
  </si>
  <si>
    <t xml:space="preserve"> VIAJES-TRANSPORTE PEOPLE &amp; TALENT</t>
  </si>
  <si>
    <t>62900262</t>
  </si>
  <si>
    <t xml:space="preserve"> VIAJES-HOTELES PEOPLE &amp; TALENT</t>
  </si>
  <si>
    <t>62900263</t>
  </si>
  <si>
    <t xml:space="preserve"> VIAJES-COMIDAS PEOPLE &amp; TALENT</t>
  </si>
  <si>
    <t>64200012</t>
  </si>
  <si>
    <t>SEGURIDAD SOCIAL HUMAN RESOURC</t>
  </si>
  <si>
    <t>64900012</t>
  </si>
  <si>
    <t>OTROS GASTOS SOCIALES HUMAN RES</t>
  </si>
  <si>
    <t>75500012</t>
  </si>
  <si>
    <t>INGR SERV PERSONAL HUMAN</t>
  </si>
  <si>
    <t>62900271</t>
  </si>
  <si>
    <t xml:space="preserve"> VIAJES-TRANSPORTE DIGITAL &amp; TECH</t>
  </si>
  <si>
    <t>62900272</t>
  </si>
  <si>
    <t xml:space="preserve"> VIAJES-HOTELES DIGITAL &amp; TECH</t>
  </si>
  <si>
    <t>62900273</t>
  </si>
  <si>
    <t xml:space="preserve"> VIAJES-COMIDAS DIGITAL &amp; TECH</t>
  </si>
  <si>
    <t>64200013</t>
  </si>
  <si>
    <t>SEGURIDAD SOCIAL DIGITAL &amp; TECH</t>
  </si>
  <si>
    <t>64900013</t>
  </si>
  <si>
    <t>OTROS GASTOS SOCIALES DIGITAL &amp; TECH</t>
  </si>
  <si>
    <t>75500013</t>
  </si>
  <si>
    <t>ING SERV PERSONAL DIGITAL &amp; TECH</t>
  </si>
  <si>
    <t>62900281</t>
  </si>
  <si>
    <t xml:space="preserve"> VIAJES-TRANSPORTE BRAND &amp; MARKETING</t>
  </si>
  <si>
    <t>62900282</t>
  </si>
  <si>
    <t xml:space="preserve"> VIAJES-HOTELES BRAND &amp; MARKETING</t>
  </si>
  <si>
    <t>62900283</t>
  </si>
  <si>
    <t xml:space="preserve"> VIAJES-COMIDAS BRAND &amp; MARKETING</t>
  </si>
  <si>
    <t>64200014</t>
  </si>
  <si>
    <t>SEGURIDAD SOCIAL BRAND &amp; MARKETING</t>
  </si>
  <si>
    <t>64900014</t>
  </si>
  <si>
    <t>OTROS GASTOS SOCIALES GLOBAL</t>
  </si>
  <si>
    <t>75500014</t>
  </si>
  <si>
    <t>INGR SERV PERSONAL GLOBAL BRA</t>
  </si>
  <si>
    <t>62900291</t>
  </si>
  <si>
    <t xml:space="preserve"> VIAJES-TRANSPORTE EXPANSION</t>
  </si>
  <si>
    <t>62900292</t>
  </si>
  <si>
    <t xml:space="preserve"> VIAJES-HOTELES EXPANSION</t>
  </si>
  <si>
    <t>62900293</t>
  </si>
  <si>
    <t xml:space="preserve"> VIAJES-COMIDAS EXPANSION</t>
  </si>
  <si>
    <t>64200015</t>
  </si>
  <si>
    <t>SEGURIDAD SOCIAL NEW DEVELOPME</t>
  </si>
  <si>
    <t>64900015</t>
  </si>
  <si>
    <t>OTROS GASTOS SOCIALESNEW DEBE</t>
  </si>
  <si>
    <t>75500015</t>
  </si>
  <si>
    <t>ING SERV PERSONAL NEW DEVELO</t>
  </si>
  <si>
    <t>62900301</t>
  </si>
  <si>
    <t xml:space="preserve"> VIAJES-TRANSPORTE FINANCE &amp; CONTROL</t>
  </si>
  <si>
    <t>62900302</t>
  </si>
  <si>
    <t xml:space="preserve"> VIAJES-HOTELES FINANCE &amp; CONTROL</t>
  </si>
  <si>
    <t>62900303</t>
  </si>
  <si>
    <t xml:space="preserve"> VIAJES-COMIDAS FINANCE &amp; CONTROL</t>
  </si>
  <si>
    <t>64200016</t>
  </si>
  <si>
    <t>SEGURIDAD SOCIAL FINANCE &amp; CONTROL</t>
  </si>
  <si>
    <t>64900016</t>
  </si>
  <si>
    <t>OTROS GASTOS SOCIALES FINANCE &amp; CONTROL</t>
  </si>
  <si>
    <t>75500016</t>
  </si>
  <si>
    <t xml:space="preserve"> ING SERV PERSONAL FINA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</si>
</sst>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2" fillId="0" borderId="0" xfId="0" applyFont="1"/>
    <xf numFmtId="0" fontId="0" fillId="2" borderId="0" xfId="0" applyFill="1"/>
    <xf numFmtId="0" fontId="3" fillId="0" borderId="5" xfId="0" applyFont="1" applyBorder="1"/>
    <xf numFmtId="0" fontId="3" fillId="0" borderId="6" xfId="0" applyFont="1" applyBorder="1"/>
    <xf numFmtId="0" fontId="1" fillId="3" borderId="4" xfId="0" applyFont="1" applyFill="1" applyBorder="1"/>
    <xf numFmtId="0" fontId="3" fillId="0" borderId="2" xfId="0" applyFont="1" applyBorder="1"/>
    <xf numFmtId="0" fontId="3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49" fontId="1" fillId="3" borderId="3" xfId="0" applyNumberFormat="1" applyFont="1" applyFill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9"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49992370372631"/>
        </patternFill>
      </fill>
    </dxf>
    <dxf>
      <numFmt numFmtId="30" formatCode="@"/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WORKER" displayName="T_WORKER" ref="A1:C19" totalsRowShown="0" headerRowDxfId="3" tableBorderDxfId="2">
  <autoFilter ref="A1:C19" xr:uid="{00000000-0009-0000-0100-000001000000}"/>
  <tableColumns count="3">
    <tableColumn id="1" xr3:uid="{00000000-0010-0000-0000-000001000000}" name="Empleado" dataDxfId="1"/>
    <tableColumn id="2" xr3:uid="{00000000-0010-0000-0000-000002000000}" name="CENTRO DE COSTE" dataDxfId="0"/>
    <tableColumn id="3" xr3:uid="{00000000-0010-0000-0000-000003000000}" name="Co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CCOSTE" displayName="T_CCOSTE" ref="A1:B9" totalsRowShown="0" headerRowBorderDxfId="8" tableBorderDxfId="7" totalsRowBorderDxfId="6">
  <autoFilter ref="A1:B9" xr:uid="{00000000-0009-0000-0100-000002000000}"/>
  <tableColumns count="2">
    <tableColumn id="1" xr3:uid="{00000000-0010-0000-0100-000001000000}" name="CENTRO DE COSTE" dataDxfId="5"/>
    <tableColumn id="2" xr3:uid="{00000000-0010-0000-0100-000002000000}" name="Numero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DADES" displayName="t_DADES" ref="A1:D51" totalsRowShown="0">
  <autoFilter ref="A1:D51" xr:uid="{00000000-0009-0000-0100-000003000000}"/>
  <tableColumns count="4">
    <tableColumn id="1" xr3:uid="{00000000-0010-0000-0200-000001000000}" name="CUENTA"/>
    <tableColumn id="2" xr3:uid="{00000000-0010-0000-0200-000002000000}" name="CONCEPTO"/>
    <tableColumn id="3" xr3:uid="{00000000-0010-0000-0200-000003000000}" name="NUMERO"/>
    <tableColumn id="4" xr3:uid="{00000000-0010-0000-0200-000004000000}" name="CENTRO DE COS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D1" sqref="D1"/>
    </sheetView>
  </sheetViews>
  <sheetFormatPr baseColWidth="10" defaultRowHeight="14.5" x14ac:dyDescent="0.35"/>
  <cols>
    <col min="1" max="1" width="12.1796875" customWidth="1"/>
    <col min="2" max="2" width="20.453125" customWidth="1"/>
  </cols>
  <sheetData>
    <row r="1" spans="1:3" x14ac:dyDescent="0.35">
      <c r="A1" s="3" t="s">
        <v>18</v>
      </c>
      <c r="B1" s="3" t="s">
        <v>0</v>
      </c>
      <c r="C1" s="3" t="s">
        <v>19</v>
      </c>
    </row>
    <row r="2" spans="1:3" x14ac:dyDescent="0.35">
      <c r="A2" s="2" t="s">
        <v>20</v>
      </c>
      <c r="B2" s="1" t="s">
        <v>2</v>
      </c>
      <c r="C2" t="s">
        <v>3</v>
      </c>
    </row>
    <row r="3" spans="1:3" x14ac:dyDescent="0.35">
      <c r="A3" s="2" t="s">
        <v>21</v>
      </c>
      <c r="B3" s="1" t="s">
        <v>14</v>
      </c>
      <c r="C3" t="s">
        <v>15</v>
      </c>
    </row>
    <row r="4" spans="1:3" x14ac:dyDescent="0.35">
      <c r="A4" s="2" t="s">
        <v>22</v>
      </c>
      <c r="B4" s="1" t="s">
        <v>2</v>
      </c>
      <c r="C4" t="s">
        <v>3</v>
      </c>
    </row>
    <row r="5" spans="1:3" x14ac:dyDescent="0.35">
      <c r="A5" s="2" t="s">
        <v>23</v>
      </c>
      <c r="B5" s="1" t="s">
        <v>2</v>
      </c>
      <c r="C5" t="s">
        <v>3</v>
      </c>
    </row>
    <row r="6" spans="1:3" x14ac:dyDescent="0.35">
      <c r="A6" s="2" t="s">
        <v>24</v>
      </c>
      <c r="B6" s="1" t="s">
        <v>6</v>
      </c>
      <c r="C6" t="s">
        <v>7</v>
      </c>
    </row>
    <row r="7" spans="1:3" x14ac:dyDescent="0.35">
      <c r="A7" s="2" t="s">
        <v>25</v>
      </c>
      <c r="B7" s="1" t="s">
        <v>2</v>
      </c>
      <c r="C7" t="s">
        <v>3</v>
      </c>
    </row>
    <row r="8" spans="1:3" x14ac:dyDescent="0.35">
      <c r="A8" s="2" t="s">
        <v>26</v>
      </c>
      <c r="B8" s="1" t="s">
        <v>8</v>
      </c>
      <c r="C8" t="s">
        <v>9</v>
      </c>
    </row>
    <row r="9" spans="1:3" x14ac:dyDescent="0.35">
      <c r="A9" s="2" t="s">
        <v>27</v>
      </c>
      <c r="B9" s="1" t="s">
        <v>2</v>
      </c>
      <c r="C9" t="s">
        <v>3</v>
      </c>
    </row>
    <row r="10" spans="1:3" x14ac:dyDescent="0.35">
      <c r="A10" s="2" t="s">
        <v>28</v>
      </c>
      <c r="B10" s="1" t="s">
        <v>10</v>
      </c>
      <c r="C10" t="s">
        <v>11</v>
      </c>
    </row>
    <row r="11" spans="1:3" x14ac:dyDescent="0.35">
      <c r="A11" s="2" t="s">
        <v>29</v>
      </c>
      <c r="B11" s="1" t="s">
        <v>10</v>
      </c>
      <c r="C11" t="s">
        <v>11</v>
      </c>
    </row>
    <row r="12" spans="1:3" x14ac:dyDescent="0.35">
      <c r="A12" s="2" t="s">
        <v>30</v>
      </c>
      <c r="B12" s="1" t="s">
        <v>2</v>
      </c>
      <c r="C12" t="s">
        <v>3</v>
      </c>
    </row>
    <row r="13" spans="1:3" x14ac:dyDescent="0.35">
      <c r="A13" s="2" t="s">
        <v>31</v>
      </c>
      <c r="B13" s="1" t="s">
        <v>2</v>
      </c>
      <c r="C13" t="s">
        <v>3</v>
      </c>
    </row>
    <row r="14" spans="1:3" x14ac:dyDescent="0.35">
      <c r="A14" s="2" t="s">
        <v>32</v>
      </c>
      <c r="B14" s="1" t="s">
        <v>4</v>
      </c>
      <c r="C14" t="s">
        <v>5</v>
      </c>
    </row>
    <row r="15" spans="1:3" x14ac:dyDescent="0.35">
      <c r="A15" s="2" t="s">
        <v>33</v>
      </c>
      <c r="B15" s="1" t="s">
        <v>12</v>
      </c>
      <c r="C15" t="s">
        <v>13</v>
      </c>
    </row>
    <row r="16" spans="1:3" x14ac:dyDescent="0.35">
      <c r="A16" s="2" t="s">
        <v>34</v>
      </c>
      <c r="B16" s="1" t="s">
        <v>10</v>
      </c>
      <c r="C16" t="s">
        <v>11</v>
      </c>
    </row>
    <row r="17" spans="1:3" x14ac:dyDescent="0.35">
      <c r="A17" s="2" t="s">
        <v>35</v>
      </c>
      <c r="B17" s="1" t="s">
        <v>4</v>
      </c>
      <c r="C17" t="s">
        <v>5</v>
      </c>
    </row>
    <row r="18" spans="1:3" x14ac:dyDescent="0.35">
      <c r="A18" s="2" t="s">
        <v>36</v>
      </c>
      <c r="B18" s="1" t="s">
        <v>10</v>
      </c>
      <c r="C18" t="s">
        <v>11</v>
      </c>
    </row>
    <row r="19" spans="1:3" x14ac:dyDescent="0.35">
      <c r="A19" s="2" t="s">
        <v>37</v>
      </c>
      <c r="B19" s="1" t="s">
        <v>4</v>
      </c>
      <c r="C19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22" sqref="A22"/>
    </sheetView>
  </sheetViews>
  <sheetFormatPr baseColWidth="10" defaultRowHeight="14.5" x14ac:dyDescent="0.35"/>
  <cols>
    <col min="1" max="1" width="20.453125" customWidth="1"/>
    <col min="2" max="2" width="11.453125" style="15" customWidth="1"/>
  </cols>
  <sheetData>
    <row r="1" spans="1:2" x14ac:dyDescent="0.35">
      <c r="A1" s="6" t="s">
        <v>0</v>
      </c>
      <c r="B1" s="12" t="s">
        <v>1</v>
      </c>
    </row>
    <row r="2" spans="1:2" x14ac:dyDescent="0.35">
      <c r="A2" s="5" t="s">
        <v>2</v>
      </c>
      <c r="B2" s="13">
        <v>1</v>
      </c>
    </row>
    <row r="3" spans="1:2" x14ac:dyDescent="0.35">
      <c r="A3" s="5" t="s">
        <v>4</v>
      </c>
      <c r="B3" s="13">
        <v>2</v>
      </c>
    </row>
    <row r="4" spans="1:2" x14ac:dyDescent="0.35">
      <c r="A4" s="5" t="s">
        <v>6</v>
      </c>
      <c r="B4" s="13">
        <v>3</v>
      </c>
    </row>
    <row r="5" spans="1:2" x14ac:dyDescent="0.35">
      <c r="A5" s="5" t="s">
        <v>8</v>
      </c>
      <c r="B5" s="13">
        <v>4</v>
      </c>
    </row>
    <row r="6" spans="1:2" x14ac:dyDescent="0.35">
      <c r="A6" s="5" t="s">
        <v>10</v>
      </c>
      <c r="B6" s="13">
        <v>5</v>
      </c>
    </row>
    <row r="7" spans="1:2" x14ac:dyDescent="0.35">
      <c r="A7" s="5" t="s">
        <v>12</v>
      </c>
      <c r="B7" s="13">
        <v>6</v>
      </c>
    </row>
    <row r="8" spans="1:2" x14ac:dyDescent="0.35">
      <c r="A8" s="7" t="s">
        <v>14</v>
      </c>
      <c r="B8" s="14">
        <v>7</v>
      </c>
    </row>
    <row r="9" spans="1:2" x14ac:dyDescent="0.35">
      <c r="A9" s="7" t="s">
        <v>16</v>
      </c>
      <c r="B9" s="14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tabSelected="1" workbookViewId="0">
      <selection activeCell="C1" sqref="C1:D1048576"/>
    </sheetView>
  </sheetViews>
  <sheetFormatPr baseColWidth="10" defaultRowHeight="14.5" x14ac:dyDescent="0.35"/>
  <cols>
    <col min="2" max="2" width="57.1796875" customWidth="1"/>
    <col min="7" max="7" width="11.7265625" bestFit="1" customWidth="1"/>
  </cols>
  <sheetData>
    <row r="1" spans="1:9" x14ac:dyDescent="0.35">
      <c r="A1" t="s">
        <v>38</v>
      </c>
      <c r="B1" t="s">
        <v>39</v>
      </c>
      <c r="C1" t="s">
        <v>40</v>
      </c>
      <c r="D1" t="s">
        <v>0</v>
      </c>
      <c r="I1" t="s">
        <v>41</v>
      </c>
    </row>
    <row r="2" spans="1:9" x14ac:dyDescent="0.35">
      <c r="A2" t="s">
        <v>42</v>
      </c>
      <c r="C2">
        <v>1</v>
      </c>
      <c r="D2" t="s">
        <v>2</v>
      </c>
      <c r="G2" t="str">
        <f t="shared" ref="G2:G33" si="0">LEFT(A2,8)</f>
        <v>62900041</v>
      </c>
      <c r="H2" t="str">
        <f t="shared" ref="H2:H33" si="1">RIGHT(A2,LEN(A2)-8)</f>
        <v>OTROSGASTOSG&amp;AHOTEL</v>
      </c>
      <c r="I2" t="s">
        <v>43</v>
      </c>
    </row>
    <row r="3" spans="1:9" x14ac:dyDescent="0.35">
      <c r="A3" t="s">
        <v>44</v>
      </c>
      <c r="C3">
        <v>1</v>
      </c>
      <c r="D3" t="s">
        <v>2</v>
      </c>
      <c r="G3" t="str">
        <f t="shared" si="0"/>
        <v>62900210</v>
      </c>
      <c r="H3" t="str">
        <f t="shared" si="1"/>
        <v>VIAJES-TRANSPORTEHOTEL</v>
      </c>
      <c r="I3" t="s">
        <v>43</v>
      </c>
    </row>
    <row r="4" spans="1:9" x14ac:dyDescent="0.35">
      <c r="A4" t="s">
        <v>45</v>
      </c>
      <c r="C4">
        <v>1</v>
      </c>
      <c r="D4" t="s">
        <v>2</v>
      </c>
      <c r="G4" t="str">
        <f t="shared" si="0"/>
        <v>62900211</v>
      </c>
      <c r="H4" t="str">
        <f t="shared" si="1"/>
        <v>VIAJES-HOTELESHOTEL</v>
      </c>
      <c r="I4" t="s">
        <v>43</v>
      </c>
    </row>
    <row r="5" spans="1:9" x14ac:dyDescent="0.35">
      <c r="A5" t="s">
        <v>46</v>
      </c>
      <c r="C5">
        <v>1</v>
      </c>
      <c r="D5" t="s">
        <v>2</v>
      </c>
      <c r="G5" t="str">
        <f t="shared" si="0"/>
        <v>62900212</v>
      </c>
      <c r="H5" t="str">
        <f t="shared" si="1"/>
        <v>VIAJES-COMIDASHOTEL</v>
      </c>
      <c r="I5" t="s">
        <v>43</v>
      </c>
    </row>
    <row r="6" spans="1:9" x14ac:dyDescent="0.35">
      <c r="A6" t="s">
        <v>47</v>
      </c>
      <c r="C6">
        <v>1</v>
      </c>
      <c r="D6" t="s">
        <v>2</v>
      </c>
      <c r="G6" t="str">
        <f t="shared" si="0"/>
        <v>62300021</v>
      </c>
      <c r="H6" t="str">
        <f t="shared" si="1"/>
        <v>GASTOSDECONTRATACIONHOTEL</v>
      </c>
      <c r="I6" t="s">
        <v>48</v>
      </c>
    </row>
    <row r="7" spans="1:9" x14ac:dyDescent="0.35">
      <c r="A7" t="s">
        <v>49</v>
      </c>
      <c r="C7">
        <v>1</v>
      </c>
      <c r="D7" t="s">
        <v>2</v>
      </c>
      <c r="G7" t="str">
        <f t="shared" si="0"/>
        <v>62300010</v>
      </c>
      <c r="H7" t="str">
        <f t="shared" si="1"/>
        <v>SERVICIOSPROF.HOTEL</v>
      </c>
      <c r="I7" t="s">
        <v>48</v>
      </c>
    </row>
    <row r="8" spans="1:9" x14ac:dyDescent="0.35">
      <c r="A8" t="s">
        <v>50</v>
      </c>
      <c r="C8">
        <v>1</v>
      </c>
      <c r="D8" t="s">
        <v>2</v>
      </c>
      <c r="G8" t="str">
        <f t="shared" si="0"/>
        <v>64200010</v>
      </c>
      <c r="H8" t="str">
        <f t="shared" si="1"/>
        <v>SEGURIDADSOCIALHOTEL</v>
      </c>
      <c r="I8" t="s">
        <v>51</v>
      </c>
    </row>
    <row r="9" spans="1:9" x14ac:dyDescent="0.35">
      <c r="A9" t="s">
        <v>52</v>
      </c>
      <c r="C9">
        <v>1</v>
      </c>
      <c r="D9" t="s">
        <v>2</v>
      </c>
      <c r="G9" t="str">
        <f t="shared" si="0"/>
        <v>64900010</v>
      </c>
      <c r="H9" t="str">
        <f t="shared" si="1"/>
        <v>OTROSGASTOSSOCIALESHOTEL</v>
      </c>
      <c r="I9" t="s">
        <v>53</v>
      </c>
    </row>
    <row r="10" spans="1:9" x14ac:dyDescent="0.35">
      <c r="A10" t="s">
        <v>54</v>
      </c>
      <c r="C10">
        <v>1</v>
      </c>
      <c r="D10" t="s">
        <v>2</v>
      </c>
      <c r="G10" t="str">
        <f t="shared" si="0"/>
        <v>75500010</v>
      </c>
      <c r="H10" t="str">
        <f t="shared" si="1"/>
        <v>INGSERVPERSONALHOTEL</v>
      </c>
      <c r="I10" t="s">
        <v>55</v>
      </c>
    </row>
    <row r="11" spans="1:9" x14ac:dyDescent="0.35">
      <c r="A11" t="s">
        <v>56</v>
      </c>
      <c r="C11">
        <v>1</v>
      </c>
      <c r="D11" t="s">
        <v>2</v>
      </c>
      <c r="G11" t="str">
        <f t="shared" si="0"/>
        <v>70500010</v>
      </c>
      <c r="H11" t="str">
        <f t="shared" si="1"/>
        <v>PRESTACIONESDESERVICIOSHOTEL</v>
      </c>
      <c r="I11" t="s">
        <v>57</v>
      </c>
    </row>
    <row r="12" spans="1:9" x14ac:dyDescent="0.35">
      <c r="A12" s="10" t="s">
        <v>58</v>
      </c>
      <c r="C12">
        <v>2</v>
      </c>
      <c r="D12" s="8" t="s">
        <v>4</v>
      </c>
      <c r="G12" t="str">
        <f t="shared" si="0"/>
        <v>62900251</v>
      </c>
      <c r="H12" t="str">
        <f t="shared" si="1"/>
        <v>OTROS GASTOS G&amp;A BEACH CLUB</v>
      </c>
      <c r="I12" t="s">
        <v>43</v>
      </c>
    </row>
    <row r="13" spans="1:9" x14ac:dyDescent="0.35">
      <c r="A13" s="10" t="s">
        <v>59</v>
      </c>
      <c r="C13">
        <v>2</v>
      </c>
      <c r="D13" s="8" t="s">
        <v>4</v>
      </c>
      <c r="G13" t="str">
        <f t="shared" si="0"/>
        <v>62900213</v>
      </c>
      <c r="H13" t="str">
        <f t="shared" si="1"/>
        <v>VIAJES-TRANSPORTE BEACH CLUB</v>
      </c>
      <c r="I13" t="s">
        <v>43</v>
      </c>
    </row>
    <row r="14" spans="1:9" x14ac:dyDescent="0.35">
      <c r="A14" s="10" t="s">
        <v>60</v>
      </c>
      <c r="C14">
        <v>2</v>
      </c>
      <c r="D14" s="8" t="s">
        <v>4</v>
      </c>
      <c r="G14" t="str">
        <f t="shared" si="0"/>
        <v>62900214</v>
      </c>
      <c r="H14" t="str">
        <f t="shared" si="1"/>
        <v>VIAJES-HOTELES BEACH CLUB</v>
      </c>
      <c r="I14" t="s">
        <v>43</v>
      </c>
    </row>
    <row r="15" spans="1:9" x14ac:dyDescent="0.35">
      <c r="A15" s="10" t="s">
        <v>61</v>
      </c>
      <c r="C15">
        <v>2</v>
      </c>
      <c r="D15" s="8" t="s">
        <v>4</v>
      </c>
      <c r="G15" t="str">
        <f t="shared" si="0"/>
        <v>62900215</v>
      </c>
      <c r="H15" t="str">
        <f t="shared" si="1"/>
        <v>VIAJES-COMIDAS BEACH CLUB</v>
      </c>
      <c r="I15" t="s">
        <v>43</v>
      </c>
    </row>
    <row r="16" spans="1:9" x14ac:dyDescent="0.35">
      <c r="A16" s="10" t="s">
        <v>62</v>
      </c>
      <c r="C16">
        <v>2</v>
      </c>
      <c r="D16" s="8" t="s">
        <v>4</v>
      </c>
      <c r="G16" t="str">
        <f t="shared" si="0"/>
        <v>62300022</v>
      </c>
      <c r="H16" t="str">
        <f t="shared" si="1"/>
        <v>GASTOS DE CONTRATACION BEACH</v>
      </c>
      <c r="I16" t="s">
        <v>48</v>
      </c>
    </row>
    <row r="17" spans="1:9" x14ac:dyDescent="0.35">
      <c r="A17" s="10" t="s">
        <v>63</v>
      </c>
      <c r="C17">
        <v>2</v>
      </c>
      <c r="D17" s="8" t="s">
        <v>4</v>
      </c>
      <c r="G17" t="str">
        <f t="shared" si="0"/>
        <v>62300015</v>
      </c>
      <c r="H17" t="str">
        <f t="shared" si="1"/>
        <v>SERVICIOS PROF. BEACH CLUB</v>
      </c>
      <c r="I17" t="s">
        <v>48</v>
      </c>
    </row>
    <row r="18" spans="1:9" x14ac:dyDescent="0.35">
      <c r="A18" s="10" t="s">
        <v>64</v>
      </c>
      <c r="C18">
        <v>2</v>
      </c>
      <c r="D18" s="8" t="s">
        <v>4</v>
      </c>
      <c r="G18" t="str">
        <f t="shared" si="0"/>
        <v>64200011</v>
      </c>
      <c r="H18" t="str">
        <f t="shared" si="1"/>
        <v>SEGURIDAD SOCIAL BEACH CLUB</v>
      </c>
      <c r="I18" t="s">
        <v>51</v>
      </c>
    </row>
    <row r="19" spans="1:9" x14ac:dyDescent="0.35">
      <c r="A19" s="10" t="s">
        <v>65</v>
      </c>
      <c r="C19">
        <v>2</v>
      </c>
      <c r="D19" s="8" t="s">
        <v>4</v>
      </c>
      <c r="G19" t="str">
        <f t="shared" si="0"/>
        <v>64900011</v>
      </c>
      <c r="H19" t="str">
        <f t="shared" si="1"/>
        <v>OTROS GASTOS SOCIALES-BEACH CL</v>
      </c>
      <c r="I19" t="s">
        <v>53</v>
      </c>
    </row>
    <row r="20" spans="1:9" x14ac:dyDescent="0.35">
      <c r="A20" s="10" t="s">
        <v>66</v>
      </c>
      <c r="C20">
        <v>2</v>
      </c>
      <c r="D20" s="8" t="s">
        <v>4</v>
      </c>
      <c r="G20" t="str">
        <f t="shared" si="0"/>
        <v>75500011</v>
      </c>
      <c r="H20" t="str">
        <f t="shared" si="1"/>
        <v>ING SERV PERSONAL-BEACH CLUB</v>
      </c>
      <c r="I20" t="s">
        <v>55</v>
      </c>
    </row>
    <row r="21" spans="1:9" ht="15.75" customHeight="1" thickBot="1" x14ac:dyDescent="0.4">
      <c r="A21" s="11" t="s">
        <v>67</v>
      </c>
      <c r="C21">
        <v>2</v>
      </c>
      <c r="D21" s="8" t="s">
        <v>4</v>
      </c>
      <c r="G21" t="str">
        <f t="shared" si="0"/>
        <v>70500011</v>
      </c>
      <c r="H21" t="str">
        <f t="shared" si="1"/>
        <v>PRESTACION SERVICIOS BEACH CLU</v>
      </c>
      <c r="I21" t="s">
        <v>57</v>
      </c>
    </row>
    <row r="22" spans="1:9" x14ac:dyDescent="0.35">
      <c r="A22" s="10" t="s">
        <v>68</v>
      </c>
      <c r="C22">
        <v>3</v>
      </c>
      <c r="D22" s="8" t="s">
        <v>6</v>
      </c>
      <c r="G22" t="str">
        <f t="shared" si="0"/>
        <v>62900261</v>
      </c>
      <c r="H22" t="str">
        <f t="shared" si="1"/>
        <v xml:space="preserve"> VIAJES-TRANSPORTE PEOPLE &amp; TALENT</v>
      </c>
      <c r="I22" t="s">
        <v>43</v>
      </c>
    </row>
    <row r="23" spans="1:9" x14ac:dyDescent="0.35">
      <c r="A23" s="10" t="s">
        <v>69</v>
      </c>
      <c r="C23">
        <v>3</v>
      </c>
      <c r="D23" s="8" t="s">
        <v>6</v>
      </c>
      <c r="G23" t="str">
        <f t="shared" si="0"/>
        <v>62900262</v>
      </c>
      <c r="H23" t="str">
        <f t="shared" si="1"/>
        <v xml:space="preserve"> VIAJES-HOTELES PEOPLE &amp; TALENT</v>
      </c>
      <c r="I23" t="s">
        <v>43</v>
      </c>
    </row>
    <row r="24" spans="1:9" x14ac:dyDescent="0.35">
      <c r="A24" s="10" t="s">
        <v>70</v>
      </c>
      <c r="C24">
        <v>3</v>
      </c>
      <c r="D24" s="8" t="s">
        <v>6</v>
      </c>
      <c r="G24" t="str">
        <f t="shared" si="0"/>
        <v>62900263</v>
      </c>
      <c r="H24" t="str">
        <f t="shared" si="1"/>
        <v xml:space="preserve"> VIAJES-COMIDAS PEOPLE &amp; TALENT</v>
      </c>
      <c r="I24" t="s">
        <v>43</v>
      </c>
    </row>
    <row r="25" spans="1:9" x14ac:dyDescent="0.35">
      <c r="A25" s="10" t="s">
        <v>71</v>
      </c>
      <c r="C25">
        <v>3</v>
      </c>
      <c r="D25" s="8" t="s">
        <v>6</v>
      </c>
      <c r="G25" t="str">
        <f t="shared" si="0"/>
        <v>64200012</v>
      </c>
      <c r="H25" t="str">
        <f t="shared" si="1"/>
        <v>SEGURIDAD SOCIAL HUMAN RESOURC</v>
      </c>
      <c r="I25" t="s">
        <v>51</v>
      </c>
    </row>
    <row r="26" spans="1:9" x14ac:dyDescent="0.35">
      <c r="A26" s="10" t="s">
        <v>72</v>
      </c>
      <c r="C26">
        <v>3</v>
      </c>
      <c r="D26" s="8" t="s">
        <v>6</v>
      </c>
      <c r="G26" t="str">
        <f t="shared" si="0"/>
        <v>64900012</v>
      </c>
      <c r="H26" t="str">
        <f t="shared" si="1"/>
        <v>OTROS GASTOS SOCIALES HUMAN RES</v>
      </c>
      <c r="I26" t="s">
        <v>53</v>
      </c>
    </row>
    <row r="27" spans="1:9" x14ac:dyDescent="0.35">
      <c r="A27" s="10" t="s">
        <v>73</v>
      </c>
      <c r="C27">
        <v>3</v>
      </c>
      <c r="D27" s="8" t="s">
        <v>6</v>
      </c>
      <c r="G27" t="str">
        <f t="shared" si="0"/>
        <v>75500012</v>
      </c>
      <c r="H27" t="str">
        <f t="shared" si="1"/>
        <v>INGR SERV PERSONAL HUMAN</v>
      </c>
      <c r="I27" t="s">
        <v>55</v>
      </c>
    </row>
    <row r="28" spans="1:9" x14ac:dyDescent="0.35">
      <c r="A28" s="10" t="s">
        <v>74</v>
      </c>
      <c r="C28" s="9">
        <v>4</v>
      </c>
      <c r="D28" s="4" t="s">
        <v>8</v>
      </c>
      <c r="G28" t="str">
        <f t="shared" si="0"/>
        <v>62900271</v>
      </c>
      <c r="H28" t="str">
        <f t="shared" si="1"/>
        <v xml:space="preserve"> VIAJES-TRANSPORTE DIGITAL &amp; TECH</v>
      </c>
      <c r="I28" t="s">
        <v>43</v>
      </c>
    </row>
    <row r="29" spans="1:9" x14ac:dyDescent="0.35">
      <c r="A29" s="10" t="s">
        <v>75</v>
      </c>
      <c r="C29">
        <v>4</v>
      </c>
      <c r="D29" s="4" t="s">
        <v>8</v>
      </c>
      <c r="G29" t="str">
        <f t="shared" si="0"/>
        <v>62900272</v>
      </c>
      <c r="H29" t="str">
        <f t="shared" si="1"/>
        <v xml:space="preserve"> VIAJES-HOTELES DIGITAL &amp; TECH</v>
      </c>
      <c r="I29" t="s">
        <v>43</v>
      </c>
    </row>
    <row r="30" spans="1:9" x14ac:dyDescent="0.35">
      <c r="A30" s="10" t="s">
        <v>76</v>
      </c>
      <c r="C30">
        <v>4</v>
      </c>
      <c r="D30" s="4" t="s">
        <v>8</v>
      </c>
      <c r="G30" t="str">
        <f t="shared" si="0"/>
        <v>62900273</v>
      </c>
      <c r="H30" t="str">
        <f t="shared" si="1"/>
        <v xml:space="preserve"> VIAJES-COMIDAS DIGITAL &amp; TECH</v>
      </c>
      <c r="I30" t="s">
        <v>43</v>
      </c>
    </row>
    <row r="31" spans="1:9" x14ac:dyDescent="0.35">
      <c r="A31" s="10" t="s">
        <v>77</v>
      </c>
      <c r="C31">
        <v>4</v>
      </c>
      <c r="D31" s="4" t="s">
        <v>8</v>
      </c>
      <c r="G31" t="str">
        <f t="shared" si="0"/>
        <v>64200013</v>
      </c>
      <c r="H31" t="str">
        <f t="shared" si="1"/>
        <v>SEGURIDAD SOCIAL DIGITAL &amp; TECH</v>
      </c>
      <c r="I31" t="s">
        <v>51</v>
      </c>
    </row>
    <row r="32" spans="1:9" x14ac:dyDescent="0.35">
      <c r="A32" s="10" t="s">
        <v>78</v>
      </c>
      <c r="C32">
        <v>4</v>
      </c>
      <c r="D32" s="4" t="s">
        <v>8</v>
      </c>
      <c r="G32" t="str">
        <f t="shared" si="0"/>
        <v>64900013</v>
      </c>
      <c r="H32" t="str">
        <f t="shared" si="1"/>
        <v>OTROS GASTOS SOCIALES DIGITAL &amp; TECH</v>
      </c>
      <c r="I32" t="s">
        <v>53</v>
      </c>
    </row>
    <row r="33" spans="1:9" x14ac:dyDescent="0.35">
      <c r="A33" s="10" t="s">
        <v>79</v>
      </c>
      <c r="C33">
        <v>4</v>
      </c>
      <c r="D33" s="4" t="s">
        <v>8</v>
      </c>
      <c r="G33" t="str">
        <f t="shared" si="0"/>
        <v>75500013</v>
      </c>
      <c r="H33" t="str">
        <f t="shared" si="1"/>
        <v>ING SERV PERSONAL DIGITAL &amp; TECH</v>
      </c>
      <c r="I33" t="s">
        <v>55</v>
      </c>
    </row>
    <row r="34" spans="1:9" x14ac:dyDescent="0.35">
      <c r="A34" s="10" t="s">
        <v>80</v>
      </c>
      <c r="C34">
        <v>5</v>
      </c>
      <c r="D34" s="4" t="s">
        <v>10</v>
      </c>
      <c r="G34" t="str">
        <f t="shared" ref="G34:G51" si="2">LEFT(A34,8)</f>
        <v>62900281</v>
      </c>
      <c r="H34" t="str">
        <f t="shared" ref="H34:H51" si="3">RIGHT(A34,LEN(A34)-8)</f>
        <v xml:space="preserve"> VIAJES-TRANSPORTE BRAND &amp; MARKETING</v>
      </c>
      <c r="I34" t="s">
        <v>43</v>
      </c>
    </row>
    <row r="35" spans="1:9" x14ac:dyDescent="0.35">
      <c r="A35" s="10" t="s">
        <v>81</v>
      </c>
      <c r="C35">
        <v>5</v>
      </c>
      <c r="D35" s="4" t="s">
        <v>10</v>
      </c>
      <c r="G35" t="str">
        <f t="shared" si="2"/>
        <v>62900282</v>
      </c>
      <c r="H35" t="str">
        <f t="shared" si="3"/>
        <v xml:space="preserve"> VIAJES-HOTELES BRAND &amp; MARKETING</v>
      </c>
      <c r="I35" t="s">
        <v>43</v>
      </c>
    </row>
    <row r="36" spans="1:9" x14ac:dyDescent="0.35">
      <c r="A36" s="10" t="s">
        <v>82</v>
      </c>
      <c r="C36">
        <v>5</v>
      </c>
      <c r="D36" s="4" t="s">
        <v>10</v>
      </c>
      <c r="G36" t="str">
        <f t="shared" si="2"/>
        <v>62900283</v>
      </c>
      <c r="H36" t="str">
        <f t="shared" si="3"/>
        <v xml:space="preserve"> VIAJES-COMIDAS BRAND &amp; MARKETING</v>
      </c>
      <c r="I36" t="s">
        <v>43</v>
      </c>
    </row>
    <row r="37" spans="1:9" x14ac:dyDescent="0.35">
      <c r="A37" s="10" t="s">
        <v>83</v>
      </c>
      <c r="C37">
        <v>5</v>
      </c>
      <c r="D37" s="4" t="s">
        <v>10</v>
      </c>
      <c r="G37" t="str">
        <f t="shared" si="2"/>
        <v>64200014</v>
      </c>
      <c r="H37" t="str">
        <f t="shared" si="3"/>
        <v>SEGURIDAD SOCIAL BRAND &amp; MARKETING</v>
      </c>
      <c r="I37" t="s">
        <v>51</v>
      </c>
    </row>
    <row r="38" spans="1:9" x14ac:dyDescent="0.35">
      <c r="A38" s="10" t="s">
        <v>84</v>
      </c>
      <c r="C38">
        <v>5</v>
      </c>
      <c r="D38" s="4" t="s">
        <v>10</v>
      </c>
      <c r="G38" t="str">
        <f t="shared" si="2"/>
        <v>64900014</v>
      </c>
      <c r="H38" t="str">
        <f t="shared" si="3"/>
        <v>OTROS GASTOS SOCIALES GLOBAL</v>
      </c>
      <c r="I38" t="s">
        <v>53</v>
      </c>
    </row>
    <row r="39" spans="1:9" x14ac:dyDescent="0.35">
      <c r="A39" s="10" t="s">
        <v>85</v>
      </c>
      <c r="C39">
        <v>5</v>
      </c>
      <c r="D39" s="4" t="s">
        <v>10</v>
      </c>
      <c r="G39" t="str">
        <f t="shared" si="2"/>
        <v>75500014</v>
      </c>
      <c r="H39" t="str">
        <f t="shared" si="3"/>
        <v>INGR SERV PERSONAL GLOBAL BRA</v>
      </c>
      <c r="I39" t="s">
        <v>55</v>
      </c>
    </row>
    <row r="40" spans="1:9" x14ac:dyDescent="0.35">
      <c r="A40" s="10" t="s">
        <v>86</v>
      </c>
      <c r="C40">
        <v>6</v>
      </c>
      <c r="D40" s="4" t="s">
        <v>12</v>
      </c>
      <c r="G40" t="str">
        <f t="shared" si="2"/>
        <v>62900291</v>
      </c>
      <c r="H40" t="str">
        <f t="shared" si="3"/>
        <v xml:space="preserve"> VIAJES-TRANSPORTE EXPANSION</v>
      </c>
      <c r="I40" t="s">
        <v>43</v>
      </c>
    </row>
    <row r="41" spans="1:9" x14ac:dyDescent="0.35">
      <c r="A41" s="10" t="s">
        <v>87</v>
      </c>
      <c r="C41">
        <v>6</v>
      </c>
      <c r="D41" s="4" t="s">
        <v>12</v>
      </c>
      <c r="G41" t="str">
        <f t="shared" si="2"/>
        <v>62900292</v>
      </c>
      <c r="H41" t="str">
        <f t="shared" si="3"/>
        <v xml:space="preserve"> VIAJES-HOTELES EXPANSION</v>
      </c>
      <c r="I41" t="s">
        <v>43</v>
      </c>
    </row>
    <row r="42" spans="1:9" x14ac:dyDescent="0.35">
      <c r="A42" s="10" t="s">
        <v>88</v>
      </c>
      <c r="C42">
        <v>6</v>
      </c>
      <c r="D42" s="4" t="s">
        <v>12</v>
      </c>
      <c r="G42" t="str">
        <f t="shared" si="2"/>
        <v>62900293</v>
      </c>
      <c r="H42" t="str">
        <f t="shared" si="3"/>
        <v xml:space="preserve"> VIAJES-COMIDAS EXPANSION</v>
      </c>
      <c r="I42" t="s">
        <v>43</v>
      </c>
    </row>
    <row r="43" spans="1:9" x14ac:dyDescent="0.35">
      <c r="A43" s="10" t="s">
        <v>89</v>
      </c>
      <c r="C43">
        <v>6</v>
      </c>
      <c r="D43" s="4" t="s">
        <v>12</v>
      </c>
      <c r="G43" t="str">
        <f t="shared" si="2"/>
        <v>64200015</v>
      </c>
      <c r="H43" t="str">
        <f t="shared" si="3"/>
        <v>SEGURIDAD SOCIAL NEW DEVELOPME</v>
      </c>
      <c r="I43" t="s">
        <v>51</v>
      </c>
    </row>
    <row r="44" spans="1:9" x14ac:dyDescent="0.35">
      <c r="A44" s="10" t="s">
        <v>90</v>
      </c>
      <c r="C44">
        <v>6</v>
      </c>
      <c r="D44" s="4" t="s">
        <v>12</v>
      </c>
      <c r="G44" t="str">
        <f t="shared" si="2"/>
        <v>64900015</v>
      </c>
      <c r="H44" t="str">
        <f t="shared" si="3"/>
        <v>OTROS GASTOS SOCIALESNEW DEBE</v>
      </c>
      <c r="I44" t="s">
        <v>53</v>
      </c>
    </row>
    <row r="45" spans="1:9" x14ac:dyDescent="0.35">
      <c r="A45" s="10" t="s">
        <v>91</v>
      </c>
      <c r="C45">
        <v>6</v>
      </c>
      <c r="D45" s="4" t="s">
        <v>12</v>
      </c>
      <c r="G45" t="str">
        <f t="shared" si="2"/>
        <v>75500015</v>
      </c>
      <c r="H45" t="str">
        <f t="shared" si="3"/>
        <v>ING SERV PERSONAL NEW DEVELO</v>
      </c>
      <c r="I45" t="s">
        <v>55</v>
      </c>
    </row>
    <row r="46" spans="1:9" x14ac:dyDescent="0.35">
      <c r="A46" s="10" t="s">
        <v>92</v>
      </c>
      <c r="C46">
        <v>7</v>
      </c>
      <c r="D46" s="4" t="s">
        <v>14</v>
      </c>
      <c r="G46" t="str">
        <f t="shared" si="2"/>
        <v>62900301</v>
      </c>
      <c r="H46" t="str">
        <f t="shared" si="3"/>
        <v xml:space="preserve"> VIAJES-TRANSPORTE FINANCE &amp; CONTROL</v>
      </c>
      <c r="I46" t="s">
        <v>43</v>
      </c>
    </row>
    <row r="47" spans="1:9" x14ac:dyDescent="0.35">
      <c r="A47" s="10" t="s">
        <v>93</v>
      </c>
      <c r="C47">
        <v>7</v>
      </c>
      <c r="D47" s="4" t="s">
        <v>14</v>
      </c>
      <c r="G47" t="str">
        <f t="shared" si="2"/>
        <v>62900302</v>
      </c>
      <c r="H47" t="str">
        <f t="shared" si="3"/>
        <v xml:space="preserve"> VIAJES-HOTELES FINANCE &amp; CONTROL</v>
      </c>
      <c r="I47" t="s">
        <v>43</v>
      </c>
    </row>
    <row r="48" spans="1:9" x14ac:dyDescent="0.35">
      <c r="A48" s="10" t="s">
        <v>94</v>
      </c>
      <c r="C48">
        <v>7</v>
      </c>
      <c r="D48" s="4" t="s">
        <v>14</v>
      </c>
      <c r="G48" t="str">
        <f t="shared" si="2"/>
        <v>62900303</v>
      </c>
      <c r="H48" t="str">
        <f t="shared" si="3"/>
        <v xml:space="preserve"> VIAJES-COMIDAS FINANCE &amp; CONTROL</v>
      </c>
      <c r="I48" t="s">
        <v>43</v>
      </c>
    </row>
    <row r="49" spans="1:9" x14ac:dyDescent="0.35">
      <c r="A49" s="10" t="s">
        <v>95</v>
      </c>
      <c r="C49">
        <v>7</v>
      </c>
      <c r="D49" s="4" t="s">
        <v>14</v>
      </c>
      <c r="G49" t="str">
        <f t="shared" si="2"/>
        <v>64200016</v>
      </c>
      <c r="H49" t="str">
        <f t="shared" si="3"/>
        <v>SEGURIDAD SOCIAL FINANCE &amp; CONTROL</v>
      </c>
      <c r="I49" t="s">
        <v>51</v>
      </c>
    </row>
    <row r="50" spans="1:9" x14ac:dyDescent="0.35">
      <c r="A50" s="10" t="s">
        <v>96</v>
      </c>
      <c r="C50">
        <v>7</v>
      </c>
      <c r="D50" s="4" t="s">
        <v>14</v>
      </c>
      <c r="G50" t="str">
        <f t="shared" si="2"/>
        <v>64900016</v>
      </c>
      <c r="H50" t="str">
        <f t="shared" si="3"/>
        <v>OTROS GASTOS SOCIALES FINANCE &amp; CONTROL</v>
      </c>
      <c r="I50" t="s">
        <v>53</v>
      </c>
    </row>
    <row r="51" spans="1:9" x14ac:dyDescent="0.35">
      <c r="A51" s="10" t="s">
        <v>97</v>
      </c>
      <c r="C51">
        <v>7</v>
      </c>
      <c r="D51" s="4" t="s">
        <v>14</v>
      </c>
      <c r="G51" t="str">
        <f t="shared" si="2"/>
        <v>75500016</v>
      </c>
      <c r="H51" t="str">
        <f t="shared" si="3"/>
        <v xml:space="preserve"> ING SERV PERSONAL FINA</v>
      </c>
      <c r="I5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topLeftCell="A94" workbookViewId="0">
      <selection activeCell="D2" sqref="D2:D11"/>
    </sheetView>
  </sheetViews>
  <sheetFormatPr baseColWidth="10" defaultRowHeight="14.5" x14ac:dyDescent="0.35"/>
  <cols>
    <col min="2" max="2" width="39.81640625" customWidth="1"/>
    <col min="3" max="3" width="34" customWidth="1"/>
    <col min="4" max="4" width="20.453125" customWidth="1"/>
  </cols>
  <sheetData>
    <row r="1" spans="1:5" x14ac:dyDescent="0.35">
      <c r="A1" t="s">
        <v>38</v>
      </c>
      <c r="B1" t="s">
        <v>39</v>
      </c>
      <c r="C1" t="s">
        <v>40</v>
      </c>
      <c r="D1" t="s">
        <v>0</v>
      </c>
      <c r="E1" t="s">
        <v>41</v>
      </c>
    </row>
    <row r="2" spans="1:5" x14ac:dyDescent="0.35">
      <c r="A2" t="s">
        <v>98</v>
      </c>
      <c r="B2" t="s">
        <v>99</v>
      </c>
      <c r="C2">
        <v>1</v>
      </c>
      <c r="D2" t="s">
        <v>2</v>
      </c>
      <c r="E2" t="s">
        <v>43</v>
      </c>
    </row>
    <row r="3" spans="1:5" x14ac:dyDescent="0.35">
      <c r="A3" t="s">
        <v>100</v>
      </c>
      <c r="B3" t="s">
        <v>101</v>
      </c>
      <c r="C3">
        <v>1</v>
      </c>
      <c r="D3" t="s">
        <v>2</v>
      </c>
      <c r="E3" t="s">
        <v>43</v>
      </c>
    </row>
    <row r="4" spans="1:5" x14ac:dyDescent="0.35">
      <c r="A4" t="s">
        <v>102</v>
      </c>
      <c r="B4" t="s">
        <v>103</v>
      </c>
      <c r="C4">
        <v>1</v>
      </c>
      <c r="D4" t="s">
        <v>2</v>
      </c>
      <c r="E4" t="s">
        <v>43</v>
      </c>
    </row>
    <row r="5" spans="1:5" x14ac:dyDescent="0.35">
      <c r="A5" t="s">
        <v>104</v>
      </c>
      <c r="B5" t="s">
        <v>105</v>
      </c>
      <c r="C5">
        <v>1</v>
      </c>
      <c r="D5" t="s">
        <v>2</v>
      </c>
      <c r="E5" t="s">
        <v>43</v>
      </c>
    </row>
    <row r="6" spans="1:5" x14ac:dyDescent="0.35">
      <c r="A6" t="s">
        <v>106</v>
      </c>
      <c r="B6" t="s">
        <v>107</v>
      </c>
      <c r="C6">
        <v>1</v>
      </c>
      <c r="D6" t="s">
        <v>2</v>
      </c>
      <c r="E6" t="s">
        <v>48</v>
      </c>
    </row>
    <row r="7" spans="1:5" x14ac:dyDescent="0.35">
      <c r="A7" t="s">
        <v>108</v>
      </c>
      <c r="B7" t="s">
        <v>109</v>
      </c>
      <c r="C7">
        <v>1</v>
      </c>
      <c r="D7" t="s">
        <v>2</v>
      </c>
      <c r="E7" t="s">
        <v>48</v>
      </c>
    </row>
    <row r="8" spans="1:5" x14ac:dyDescent="0.35">
      <c r="A8" t="s">
        <v>110</v>
      </c>
      <c r="B8" t="s">
        <v>111</v>
      </c>
      <c r="C8">
        <v>1</v>
      </c>
      <c r="D8" t="s">
        <v>2</v>
      </c>
      <c r="E8" t="s">
        <v>51</v>
      </c>
    </row>
    <row r="9" spans="1:5" x14ac:dyDescent="0.35">
      <c r="A9" t="s">
        <v>112</v>
      </c>
      <c r="B9" t="s">
        <v>113</v>
      </c>
      <c r="C9">
        <v>1</v>
      </c>
      <c r="D9" t="s">
        <v>2</v>
      </c>
      <c r="E9" t="s">
        <v>53</v>
      </c>
    </row>
    <row r="10" spans="1:5" x14ac:dyDescent="0.35">
      <c r="A10" t="s">
        <v>114</v>
      </c>
      <c r="B10" t="s">
        <v>115</v>
      </c>
      <c r="C10">
        <v>1</v>
      </c>
      <c r="D10" t="s">
        <v>2</v>
      </c>
      <c r="E10" t="s">
        <v>55</v>
      </c>
    </row>
    <row r="11" spans="1:5" x14ac:dyDescent="0.35">
      <c r="A11" t="s">
        <v>116</v>
      </c>
      <c r="B11" t="s">
        <v>117</v>
      </c>
      <c r="C11">
        <v>1</v>
      </c>
      <c r="D11" t="s">
        <v>2</v>
      </c>
      <c r="E11" t="s">
        <v>57</v>
      </c>
    </row>
    <row r="12" spans="1:5" x14ac:dyDescent="0.35">
      <c r="A12" t="s">
        <v>118</v>
      </c>
      <c r="B12" t="s">
        <v>119</v>
      </c>
      <c r="C12">
        <v>2</v>
      </c>
      <c r="D12" t="s">
        <v>4</v>
      </c>
      <c r="E12" t="s">
        <v>43</v>
      </c>
    </row>
    <row r="13" spans="1:5" x14ac:dyDescent="0.35">
      <c r="A13" t="s">
        <v>120</v>
      </c>
      <c r="B13" t="s">
        <v>121</v>
      </c>
      <c r="C13">
        <v>2</v>
      </c>
      <c r="D13" t="s">
        <v>4</v>
      </c>
      <c r="E13" t="s">
        <v>43</v>
      </c>
    </row>
    <row r="14" spans="1:5" x14ac:dyDescent="0.35">
      <c r="A14" t="s">
        <v>122</v>
      </c>
      <c r="B14" t="s">
        <v>123</v>
      </c>
      <c r="C14">
        <v>2</v>
      </c>
      <c r="D14" t="s">
        <v>4</v>
      </c>
      <c r="E14" t="s">
        <v>43</v>
      </c>
    </row>
    <row r="15" spans="1:5" x14ac:dyDescent="0.35">
      <c r="A15" t="s">
        <v>124</v>
      </c>
      <c r="B15" t="s">
        <v>125</v>
      </c>
      <c r="C15">
        <v>2</v>
      </c>
      <c r="D15" t="s">
        <v>4</v>
      </c>
      <c r="E15" t="s">
        <v>43</v>
      </c>
    </row>
    <row r="16" spans="1:5" x14ac:dyDescent="0.35">
      <c r="A16" t="s">
        <v>126</v>
      </c>
      <c r="B16" t="s">
        <v>127</v>
      </c>
      <c r="C16">
        <v>2</v>
      </c>
      <c r="D16" t="s">
        <v>4</v>
      </c>
      <c r="E16" t="s">
        <v>48</v>
      </c>
    </row>
    <row r="17" spans="1:5" x14ac:dyDescent="0.35">
      <c r="A17" t="s">
        <v>128</v>
      </c>
      <c r="B17" t="s">
        <v>129</v>
      </c>
      <c r="C17">
        <v>2</v>
      </c>
      <c r="D17" t="s">
        <v>4</v>
      </c>
      <c r="E17" t="s">
        <v>48</v>
      </c>
    </row>
    <row r="18" spans="1:5" x14ac:dyDescent="0.35">
      <c r="A18" t="s">
        <v>130</v>
      </c>
      <c r="B18" t="s">
        <v>131</v>
      </c>
      <c r="C18">
        <v>2</v>
      </c>
      <c r="D18" t="s">
        <v>4</v>
      </c>
      <c r="E18" t="s">
        <v>51</v>
      </c>
    </row>
    <row r="19" spans="1:5" x14ac:dyDescent="0.35">
      <c r="A19" t="s">
        <v>132</v>
      </c>
      <c r="B19" t="s">
        <v>133</v>
      </c>
      <c r="C19">
        <v>2</v>
      </c>
      <c r="D19" t="s">
        <v>4</v>
      </c>
      <c r="E19" t="s">
        <v>53</v>
      </c>
    </row>
    <row r="20" spans="1:5" x14ac:dyDescent="0.35">
      <c r="A20" t="s">
        <v>134</v>
      </c>
      <c r="B20" t="s">
        <v>135</v>
      </c>
      <c r="C20">
        <v>2</v>
      </c>
      <c r="D20" t="s">
        <v>4</v>
      </c>
      <c r="E20" t="s">
        <v>55</v>
      </c>
    </row>
    <row r="21" spans="1:5" x14ac:dyDescent="0.35">
      <c r="A21" t="s">
        <v>136</v>
      </c>
      <c r="B21" t="s">
        <v>137</v>
      </c>
      <c r="C21">
        <v>2</v>
      </c>
      <c r="D21" t="s">
        <v>4</v>
      </c>
      <c r="E21" t="s">
        <v>57</v>
      </c>
    </row>
    <row r="22" spans="1:5" x14ac:dyDescent="0.35">
      <c r="A22" t="s">
        <v>138</v>
      </c>
      <c r="B22" t="s">
        <v>139</v>
      </c>
      <c r="C22">
        <v>3</v>
      </c>
      <c r="D22" t="s">
        <v>6</v>
      </c>
      <c r="E22" t="s">
        <v>43</v>
      </c>
    </row>
    <row r="23" spans="1:5" x14ac:dyDescent="0.35">
      <c r="A23" t="s">
        <v>140</v>
      </c>
      <c r="B23" t="s">
        <v>141</v>
      </c>
      <c r="C23">
        <v>3</v>
      </c>
      <c r="D23" t="s">
        <v>6</v>
      </c>
      <c r="E23" t="s">
        <v>43</v>
      </c>
    </row>
    <row r="24" spans="1:5" x14ac:dyDescent="0.35">
      <c r="A24" t="s">
        <v>142</v>
      </c>
      <c r="B24" t="s">
        <v>143</v>
      </c>
      <c r="C24">
        <v>3</v>
      </c>
      <c r="D24" t="s">
        <v>6</v>
      </c>
      <c r="E24" t="s">
        <v>43</v>
      </c>
    </row>
    <row r="25" spans="1:5" x14ac:dyDescent="0.35">
      <c r="A25" t="s">
        <v>144</v>
      </c>
      <c r="B25" t="s">
        <v>145</v>
      </c>
      <c r="C25">
        <v>3</v>
      </c>
      <c r="D25" t="s">
        <v>6</v>
      </c>
      <c r="E25" t="s">
        <v>51</v>
      </c>
    </row>
    <row r="26" spans="1:5" x14ac:dyDescent="0.35">
      <c r="A26" t="s">
        <v>146</v>
      </c>
      <c r="B26" t="s">
        <v>147</v>
      </c>
      <c r="C26">
        <v>3</v>
      </c>
      <c r="D26" t="s">
        <v>6</v>
      </c>
      <c r="E26" t="s">
        <v>53</v>
      </c>
    </row>
    <row r="27" spans="1:5" x14ac:dyDescent="0.35">
      <c r="A27" t="s">
        <v>148</v>
      </c>
      <c r="B27" t="s">
        <v>149</v>
      </c>
      <c r="C27">
        <v>3</v>
      </c>
      <c r="D27" t="s">
        <v>6</v>
      </c>
      <c r="E27" t="s">
        <v>55</v>
      </c>
    </row>
    <row r="28" spans="1:5" x14ac:dyDescent="0.35">
      <c r="A28" t="s">
        <v>150</v>
      </c>
      <c r="B28" t="s">
        <v>151</v>
      </c>
      <c r="C28">
        <v>4</v>
      </c>
      <c r="D28" t="s">
        <v>8</v>
      </c>
      <c r="E28" t="s">
        <v>43</v>
      </c>
    </row>
    <row r="29" spans="1:5" x14ac:dyDescent="0.35">
      <c r="A29" t="s">
        <v>152</v>
      </c>
      <c r="B29" t="s">
        <v>153</v>
      </c>
      <c r="C29">
        <v>4</v>
      </c>
      <c r="D29" t="s">
        <v>8</v>
      </c>
      <c r="E29" t="s">
        <v>43</v>
      </c>
    </row>
    <row r="30" spans="1:5" x14ac:dyDescent="0.35">
      <c r="A30" t="s">
        <v>154</v>
      </c>
      <c r="B30" t="s">
        <v>155</v>
      </c>
      <c r="C30">
        <v>4</v>
      </c>
      <c r="D30" t="s">
        <v>8</v>
      </c>
      <c r="E30" t="s">
        <v>43</v>
      </c>
    </row>
    <row r="31" spans="1:5" x14ac:dyDescent="0.35">
      <c r="A31" t="s">
        <v>156</v>
      </c>
      <c r="B31" t="s">
        <v>157</v>
      </c>
      <c r="C31">
        <v>4</v>
      </c>
      <c r="D31" t="s">
        <v>8</v>
      </c>
      <c r="E31" t="s">
        <v>51</v>
      </c>
    </row>
    <row r="32" spans="1:5" x14ac:dyDescent="0.35">
      <c r="A32" t="s">
        <v>158</v>
      </c>
      <c r="B32" t="s">
        <v>159</v>
      </c>
      <c r="C32">
        <v>4</v>
      </c>
      <c r="D32" t="s">
        <v>8</v>
      </c>
      <c r="E32" t="s">
        <v>53</v>
      </c>
    </row>
    <row r="33" spans="1:5" x14ac:dyDescent="0.35">
      <c r="A33" t="s">
        <v>160</v>
      </c>
      <c r="B33" t="s">
        <v>161</v>
      </c>
      <c r="C33">
        <v>4</v>
      </c>
      <c r="D33" t="s">
        <v>8</v>
      </c>
      <c r="E33" t="s">
        <v>55</v>
      </c>
    </row>
    <row r="34" spans="1:5" x14ac:dyDescent="0.35">
      <c r="A34" t="s">
        <v>162</v>
      </c>
      <c r="B34" t="s">
        <v>163</v>
      </c>
      <c r="C34">
        <v>5</v>
      </c>
      <c r="D34" t="s">
        <v>10</v>
      </c>
      <c r="E34" t="s">
        <v>43</v>
      </c>
    </row>
    <row r="35" spans="1:5" x14ac:dyDescent="0.35">
      <c r="A35" t="s">
        <v>164</v>
      </c>
      <c r="B35" t="s">
        <v>165</v>
      </c>
      <c r="C35">
        <v>5</v>
      </c>
      <c r="D35" t="s">
        <v>10</v>
      </c>
      <c r="E35" t="s">
        <v>43</v>
      </c>
    </row>
    <row r="36" spans="1:5" x14ac:dyDescent="0.35">
      <c r="A36" t="s">
        <v>166</v>
      </c>
      <c r="B36" t="s">
        <v>167</v>
      </c>
      <c r="C36">
        <v>5</v>
      </c>
      <c r="D36" t="s">
        <v>10</v>
      </c>
      <c r="E36" t="s">
        <v>43</v>
      </c>
    </row>
    <row r="37" spans="1:5" x14ac:dyDescent="0.35">
      <c r="A37" t="s">
        <v>168</v>
      </c>
      <c r="B37" t="s">
        <v>169</v>
      </c>
      <c r="C37">
        <v>5</v>
      </c>
      <c r="D37" t="s">
        <v>10</v>
      </c>
      <c r="E37" t="s">
        <v>51</v>
      </c>
    </row>
    <row r="38" spans="1:5" x14ac:dyDescent="0.35">
      <c r="A38" t="s">
        <v>170</v>
      </c>
      <c r="B38" t="s">
        <v>171</v>
      </c>
      <c r="C38">
        <v>5</v>
      </c>
      <c r="D38" t="s">
        <v>10</v>
      </c>
      <c r="E38" t="s">
        <v>53</v>
      </c>
    </row>
    <row r="39" spans="1:5" x14ac:dyDescent="0.35">
      <c r="A39" t="s">
        <v>172</v>
      </c>
      <c r="B39" t="s">
        <v>173</v>
      </c>
      <c r="C39">
        <v>5</v>
      </c>
      <c r="D39" t="s">
        <v>10</v>
      </c>
      <c r="E39" t="s">
        <v>55</v>
      </c>
    </row>
    <row r="40" spans="1:5" x14ac:dyDescent="0.35">
      <c r="A40" t="s">
        <v>174</v>
      </c>
      <c r="B40" t="s">
        <v>175</v>
      </c>
      <c r="C40">
        <v>6</v>
      </c>
      <c r="D40" t="s">
        <v>12</v>
      </c>
      <c r="E40" t="s">
        <v>43</v>
      </c>
    </row>
    <row r="41" spans="1:5" x14ac:dyDescent="0.35">
      <c r="A41" t="s">
        <v>176</v>
      </c>
      <c r="B41" t="s">
        <v>177</v>
      </c>
      <c r="C41">
        <v>6</v>
      </c>
      <c r="D41" t="s">
        <v>12</v>
      </c>
      <c r="E41" t="s">
        <v>43</v>
      </c>
    </row>
    <row r="42" spans="1:5" x14ac:dyDescent="0.35">
      <c r="A42" t="s">
        <v>178</v>
      </c>
      <c r="B42" t="s">
        <v>179</v>
      </c>
      <c r="C42">
        <v>6</v>
      </c>
      <c r="D42" t="s">
        <v>12</v>
      </c>
      <c r="E42" t="s">
        <v>43</v>
      </c>
    </row>
    <row r="43" spans="1:5" x14ac:dyDescent="0.35">
      <c r="A43" t="s">
        <v>180</v>
      </c>
      <c r="B43" t="s">
        <v>181</v>
      </c>
      <c r="C43">
        <v>6</v>
      </c>
      <c r="D43" t="s">
        <v>12</v>
      </c>
      <c r="E43" t="s">
        <v>51</v>
      </c>
    </row>
    <row r="44" spans="1:5" x14ac:dyDescent="0.35">
      <c r="A44" t="s">
        <v>182</v>
      </c>
      <c r="B44" t="s">
        <v>183</v>
      </c>
      <c r="C44">
        <v>6</v>
      </c>
      <c r="D44" t="s">
        <v>12</v>
      </c>
      <c r="E44" t="s">
        <v>53</v>
      </c>
    </row>
    <row r="45" spans="1:5" x14ac:dyDescent="0.35">
      <c r="A45" t="s">
        <v>184</v>
      </c>
      <c r="B45" t="s">
        <v>185</v>
      </c>
      <c r="C45">
        <v>6</v>
      </c>
      <c r="D45" t="s">
        <v>12</v>
      </c>
      <c r="E45" t="s">
        <v>55</v>
      </c>
    </row>
    <row r="46" spans="1:5" x14ac:dyDescent="0.35">
      <c r="A46" t="s">
        <v>186</v>
      </c>
      <c r="B46" t="s">
        <v>187</v>
      </c>
      <c r="C46">
        <v>7</v>
      </c>
      <c r="D46" t="s">
        <v>14</v>
      </c>
      <c r="E46" t="s">
        <v>43</v>
      </c>
    </row>
    <row r="47" spans="1:5" x14ac:dyDescent="0.35">
      <c r="A47" t="s">
        <v>188</v>
      </c>
      <c r="B47" t="s">
        <v>189</v>
      </c>
      <c r="C47">
        <v>7</v>
      </c>
      <c r="D47" t="s">
        <v>14</v>
      </c>
      <c r="E47" t="s">
        <v>43</v>
      </c>
    </row>
    <row r="48" spans="1:5" x14ac:dyDescent="0.35">
      <c r="A48" t="s">
        <v>190</v>
      </c>
      <c r="B48" t="s">
        <v>191</v>
      </c>
      <c r="C48">
        <v>7</v>
      </c>
      <c r="D48" t="s">
        <v>14</v>
      </c>
      <c r="E48" t="s">
        <v>43</v>
      </c>
    </row>
    <row r="49" spans="1:5" x14ac:dyDescent="0.35">
      <c r="A49" t="s">
        <v>192</v>
      </c>
      <c r="B49" t="s">
        <v>193</v>
      </c>
      <c r="C49">
        <v>7</v>
      </c>
      <c r="D49" t="s">
        <v>14</v>
      </c>
      <c r="E49" t="s">
        <v>51</v>
      </c>
    </row>
    <row r="50" spans="1:5" x14ac:dyDescent="0.35">
      <c r="A50" t="s">
        <v>194</v>
      </c>
      <c r="B50" t="s">
        <v>195</v>
      </c>
      <c r="C50">
        <v>7</v>
      </c>
      <c r="D50" t="s">
        <v>14</v>
      </c>
      <c r="E50" t="s">
        <v>53</v>
      </c>
    </row>
    <row r="51" spans="1:5" x14ac:dyDescent="0.35">
      <c r="A51" t="s">
        <v>196</v>
      </c>
      <c r="B51" t="s">
        <v>197</v>
      </c>
      <c r="C51">
        <v>7</v>
      </c>
      <c r="D51" t="s">
        <v>14</v>
      </c>
      <c r="E51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T_worker</vt:lpstr>
      <vt:lpstr>t_ccoste</vt:lpstr>
      <vt:lpstr>Hoja3</vt:lpstr>
      <vt:lpstr>T_DADES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Hernandez Barbosa</dc:creator>
  <cp:lastModifiedBy>Alex Hernandez Barbosa</cp:lastModifiedBy>
  <dcterms:created xsi:type="dcterms:W3CDTF">2026-06-11T16:04:12Z</dcterms:created>
  <dcterms:modified xsi:type="dcterms:W3CDTF">2026-06-13T09:21:37Z</dcterms:modified>
</cp:coreProperties>
</file>